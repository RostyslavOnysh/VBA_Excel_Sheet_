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tyslavOnyshchenko\Desktop\Excel VBA\"/>
    </mc:Choice>
  </mc:AlternateContent>
  <xr:revisionPtr revIDLastSave="0" documentId="13_ncr:1_{8CD1E360-5DF8-4FC1-A69B-9C7AE8D5E40D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Users" sheetId="1" r:id="rId1"/>
    <sheet name="Tasks" sheetId="2" r:id="rId2"/>
    <sheet name="Lists" sheetId="3" r:id="rId3"/>
  </sheets>
  <definedNames>
    <definedName name="Assignee">UsersTable[Name]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" l="1"/>
  <c r="E9" i="2"/>
  <c r="E8" i="2"/>
  <c r="E3" i="2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E30" i="2"/>
  <c r="E31" i="2"/>
  <c r="E32" i="2"/>
  <c r="E33" i="2"/>
  <c r="E34" i="2"/>
  <c r="E35" i="2"/>
  <c r="E36" i="2"/>
  <c r="E37" i="2"/>
  <c r="E38" i="2"/>
  <c r="E39" i="2"/>
  <c r="A25" i="2" a="1"/>
  <c r="A25" i="2" s="1"/>
  <c r="A26" i="2" a="1"/>
  <c r="A26" i="2" s="1"/>
  <c r="A27" i="2" a="1"/>
  <c r="A27" i="2" s="1"/>
  <c r="A28" i="2" a="1"/>
  <c r="A28" i="2" s="1"/>
  <c r="A29" i="2" a="1"/>
  <c r="A29" i="2" s="1"/>
  <c r="E25" i="2"/>
  <c r="E26" i="2"/>
  <c r="E27" i="2"/>
  <c r="E28" i="2"/>
  <c r="E29" i="2"/>
  <c r="A2" i="2" a="1"/>
  <c r="A2" i="2" s="1"/>
  <c r="A3" i="2" a="1"/>
  <c r="A3" i="2" s="1"/>
  <c r="A4" i="2" a="1"/>
  <c r="A4" i="2" s="1"/>
  <c r="A5" i="2" a="1"/>
  <c r="A5" i="2" s="1"/>
  <c r="A6" i="2" a="1"/>
  <c r="A6" i="2" s="1"/>
  <c r="A7" i="2" a="1"/>
  <c r="A7" i="2" s="1"/>
  <c r="A8" i="2" a="1"/>
  <c r="A8" i="2" s="1"/>
  <c r="A9" i="2" a="1"/>
  <c r="A9" i="2" s="1"/>
  <c r="A10" i="2" a="1"/>
  <c r="A10" i="2" s="1"/>
  <c r="A11" i="2" a="1"/>
  <c r="A11" i="2" s="1"/>
  <c r="A12" i="2" a="1"/>
  <c r="A12" i="2" s="1"/>
  <c r="A13" i="2" a="1"/>
  <c r="A13" i="2" s="1"/>
  <c r="A14" i="2" a="1"/>
  <c r="A14" i="2" s="1"/>
  <c r="A15" i="2" a="1"/>
  <c r="A15" i="2" s="1"/>
  <c r="A16" i="2" a="1"/>
  <c r="A16" i="2" s="1"/>
  <c r="A17" i="2" a="1"/>
  <c r="A17" i="2" s="1"/>
  <c r="A18" i="2" a="1"/>
  <c r="A18" i="2" s="1"/>
  <c r="A19" i="2" a="1"/>
  <c r="A19" i="2" s="1"/>
  <c r="A20" i="2" a="1"/>
  <c r="A20" i="2" s="1"/>
  <c r="A21" i="2" a="1"/>
  <c r="A21" i="2" s="1"/>
  <c r="A22" i="2" a="1"/>
  <c r="A22" i="2" s="1"/>
  <c r="A23" i="2" a="1"/>
  <c r="A23" i="2" s="1"/>
  <c r="A24" i="2" a="1"/>
  <c r="A24" i="2" s="1"/>
  <c r="E4" i="2"/>
  <c r="E5" i="2"/>
  <c r="E6" i="2"/>
  <c r="E11" i="2"/>
  <c r="E12" i="2"/>
  <c r="E13" i="2"/>
  <c r="E14" i="2"/>
  <c r="E15" i="2"/>
  <c r="E16" i="2"/>
  <c r="E18" i="2"/>
  <c r="E19" i="2"/>
  <c r="E20" i="2"/>
  <c r="E21" i="2"/>
  <c r="E22" i="2"/>
  <c r="E23" i="2"/>
  <c r="E24" i="2"/>
  <c r="A3" i="1" a="1"/>
  <c r="A3" i="1" s="1"/>
  <c r="A4" i="1" a="1"/>
  <c r="A4" i="1" s="1"/>
  <c r="A5" i="1" a="1"/>
  <c r="A5" i="1" s="1"/>
  <c r="A6" i="1" a="1"/>
  <c r="A6" i="1" s="1"/>
  <c r="A7" i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" i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<sst xmlns="http://schemas.openxmlformats.org/spreadsheetml/2006/main" count="94" uniqueCount="46">
  <si>
    <t>Name</t>
  </si>
  <si>
    <t>Email</t>
  </si>
  <si>
    <t>Id</t>
  </si>
  <si>
    <t>User 1</t>
  </si>
  <si>
    <t>user1@gmail.com</t>
  </si>
  <si>
    <t>User 2</t>
  </si>
  <si>
    <t>user2@gmail.com</t>
  </si>
  <si>
    <t>User 3</t>
  </si>
  <si>
    <t>user3@gmail.com</t>
  </si>
  <si>
    <t>User 4</t>
  </si>
  <si>
    <t>User 5</t>
  </si>
  <si>
    <t>User 8</t>
  </si>
  <si>
    <t>User 9</t>
  </si>
  <si>
    <t>User 0</t>
  </si>
  <si>
    <t>User 6</t>
  </si>
  <si>
    <t>User 7</t>
  </si>
  <si>
    <t>user8@gmail.com</t>
  </si>
  <si>
    <t>user4@gmail.com</t>
  </si>
  <si>
    <t>user5@gmail.com</t>
  </si>
  <si>
    <t>user6@gmail.com</t>
  </si>
  <si>
    <t>user7@gmail.com</t>
  </si>
  <si>
    <t>TaskID</t>
  </si>
  <si>
    <t>Task_Name</t>
  </si>
  <si>
    <t>Assignee</t>
  </si>
  <si>
    <t>Description</t>
  </si>
  <si>
    <t>Assignee Email</t>
  </si>
  <si>
    <t>EmailStatus</t>
  </si>
  <si>
    <t>Draft</t>
  </si>
  <si>
    <t>Ready</t>
  </si>
  <si>
    <t>Sent</t>
  </si>
  <si>
    <t>Reassigned</t>
  </si>
  <si>
    <t>Error</t>
  </si>
  <si>
    <t>Status</t>
  </si>
  <si>
    <t>Email Send Link</t>
  </si>
  <si>
    <t>Rostyslav</t>
  </si>
  <si>
    <t>rostyslavonyshchenko@gmail.com</t>
  </si>
  <si>
    <t>Send Email</t>
  </si>
  <si>
    <t>AssignedOn</t>
  </si>
  <si>
    <t>DueDate</t>
  </si>
  <si>
    <t>Priority</t>
  </si>
  <si>
    <t>CalendarAdded</t>
  </si>
  <si>
    <t>CalendarEntryID</t>
  </si>
  <si>
    <t>Yes</t>
  </si>
  <si>
    <t>Medium</t>
  </si>
  <si>
    <t>SentCalendarAdded</t>
  </si>
  <si>
    <t>InviteSent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</si>
</sst>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6110B3-4310-4282-8B6C-40CAAEC6EC3E}" name="UsersTable" displayName="UsersTable" ref="A1:C24" totalsRowShown="0">
  <autoFilter ref="A1:C24" xr:uid="{616110B3-4310-4282-8B6C-40CAAEC6EC3E}"/>
  <tableColumns count="3">
    <tableColumn id="1" xr3:uid="{EC56074C-5656-4A11-B21B-4419A7F59723}" name="Id">
      <calculatedColumnFormula array="1">"U"&amp;TEXT(ROW()-ROW(UsersTable[#Headers]),"000")</calculatedColumnFormula>
    </tableColumn>
    <tableColumn id="2" xr3:uid="{56A07D34-D9E3-4DB4-845A-BFF1CDCB678B}" name="Name"/>
    <tableColumn id="3" xr3:uid="{7F7BEE61-13B5-4E06-9EDE-1F95D1072383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4EAD6E-7458-4961-9168-6A8BAE2E7460}" name="TasksTable" displayName="TasksTable" ref="A1:N39" totalsRowShown="0">
  <autoFilter ref="A1:N39" xr:uid="{9A4EAD6E-7458-4961-9168-6A8BAE2E7460}"/>
  <tableColumns count="14">
    <tableColumn id="1" xr3:uid="{7A6BDCB7-0BD0-4C0B-BDA5-3DAD6B98FED3}" name="TaskID" dataDxfId="4">
      <calculatedColumnFormula array="1">"T"&amp;TEXT(ROW()-ROW(UsersTable[#Headers]),"000")</calculatedColumnFormula>
    </tableColumn>
    <tableColumn id="2" xr3:uid="{F6CB32E3-8648-480A-9ECD-54B915A72C06}" name="Task_Name"/>
    <tableColumn id="3" xr3:uid="{5FEE512D-1960-4B26-99AF-E82951BAFB4A}" name="Description"/>
    <tableColumn id="4" xr3:uid="{7CF9CEA7-49C2-4C62-94E8-AFA8CD3AA35E}" name="Assignee"/>
    <tableColumn id="5" xr3:uid="{E06E0D8A-E7D7-41E6-A64E-6BAFB41E406B}" name="Assignee Email" dataDxfId="3">
      <calculatedColumnFormula>_xlfn.XLOOKUP(TasksTable[[#This Row],[Assignee]],UsersTable[Name],UsersTable[Email],"")</calculatedColumnFormula>
    </tableColumn>
    <tableColumn id="7" xr3:uid="{CEE5DAC2-7FF7-497D-97B6-E4E9C46C5316}" name="EmailStatus"/>
    <tableColumn id="9" xr3:uid="{B92F740D-08C8-4964-889C-B3C3B3C5A33F}" name="Email Send Link" dataDxfId="2"/>
    <tableColumn id="11" xr3:uid="{BF562295-EAE4-4562-9745-A64B74C250A1}" name="AssignedOn"/>
    <tableColumn id="12" xr3:uid="{7CC71644-1DC2-4CCA-899B-6BD0A127A010}" name="DueDate" dataDxfId="1"/>
    <tableColumn id="13" xr3:uid="{06A82433-66BA-4EEF-885B-ADE8D5F6DC25}" name="Priority" dataDxfId="0"/>
    <tableColumn id="14" xr3:uid="{EB875379-6F7D-4338-BCE3-B429F6855AA2}" name="CalendarAdded"/>
    <tableColumn id="15" xr3:uid="{EAA46EF9-13E6-4347-B518-4E52E4E9DA78}" name="CalendarEntryID"/>
    <tableColumn id="6" xr3:uid="{B541184F-C499-4497-9515-3D2FB1F7CBE8}" name="SentCalendarAdded"/>
    <tableColumn id="8" xr3:uid="{CF8D9009-C2AC-40EC-80FB-31BBCEC02C72}" name="InviteS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CC189-2FE3-4384-91AB-02060B16DAD0}" name="EmailStatusTable" displayName="EmailStatusTable" ref="A1:A10" totalsRowShown="0">
  <autoFilter ref="A1:A10" xr:uid="{92CCC189-2FE3-4384-91AB-02060B16DAD0}"/>
  <tableColumns count="1">
    <tableColumn id="1" xr3:uid="{FD898219-FA9F-41A9-B136-C874984CE1B6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user4@gmail.com" TargetMode="External"/><Relationship Id="rId3" Type="http://schemas.openxmlformats.org/officeDocument/2006/relationships/hyperlink" Target="mailto:user3@gmail.com" TargetMode="External"/><Relationship Id="rId7" Type="http://schemas.openxmlformats.org/officeDocument/2006/relationships/hyperlink" Target="mailto:user5@gmail.com" TargetMode="External"/><Relationship Id="rId2" Type="http://schemas.openxmlformats.org/officeDocument/2006/relationships/hyperlink" Target="mailto:user2@gmail.com" TargetMode="External"/><Relationship Id="rId1" Type="http://schemas.openxmlformats.org/officeDocument/2006/relationships/hyperlink" Target="mailto:user1@gmail.com" TargetMode="External"/><Relationship Id="rId6" Type="http://schemas.openxmlformats.org/officeDocument/2006/relationships/hyperlink" Target="mailto:user6@gmail.com" TargetMode="External"/><Relationship Id="rId5" Type="http://schemas.openxmlformats.org/officeDocument/2006/relationships/hyperlink" Target="mailto:user7@gmail.com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user8@gmail.com" TargetMode="External"/><Relationship Id="rId9" Type="http://schemas.openxmlformats.org/officeDocument/2006/relationships/hyperlink" Target="mailto:rostyslavonyshchenko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"/>
  <sheetViews>
    <sheetView workbookViewId="0">
      <selection activeCell="B15" sqref="B15"/>
    </sheetView>
  </sheetViews>
  <sheetFormatPr defaultRowHeight="15" x14ac:dyDescent="0.25"/>
  <cols>
    <col min="2" max="2" width="30.7109375" customWidth="1"/>
    <col min="3" max="3" width="71.5703125" customWidth="1"/>
  </cols>
  <sheetData>
    <row r="1" spans="1:3" x14ac:dyDescent="0.25">
      <c r="A1" t="s">
        <v>2</v>
      </c>
      <c r="B1" t="s">
        <v>0</v>
      </c>
      <c r="C1" t="s">
        <v>1</v>
      </c>
    </row>
    <row r="2" spans="1:3" x14ac:dyDescent="0.25">
      <c r="A2" t="str" cm="1">
        <f t="array" ref="A2">"U"&amp;TEXT(ROW()-ROW(UsersTable[#Headers]),"000")</f>
        <v>U001</v>
      </c>
      <c r="B2" t="s">
        <v>3</v>
      </c>
      <c r="C2" s="1" t="s">
        <v>4</v>
      </c>
    </row>
    <row r="3" spans="1:3" x14ac:dyDescent="0.25">
      <c r="A3" t="str" cm="1">
        <f t="array" ref="A3">"U"&amp;TEXT(ROW()-ROW(UsersTable[#Headers]),"000")</f>
        <v>U002</v>
      </c>
      <c r="B3" t="s">
        <v>5</v>
      </c>
      <c r="C3" s="1" t="s">
        <v>6</v>
      </c>
    </row>
    <row r="4" spans="1:3" x14ac:dyDescent="0.25">
      <c r="A4" t="str" cm="1">
        <f t="array" ref="A4">"U"&amp;TEXT(ROW()-ROW(UsersTable[#Headers]),"000")</f>
        <v>U003</v>
      </c>
      <c r="B4" t="s">
        <v>7</v>
      </c>
      <c r="C4" s="1" t="s">
        <v>8</v>
      </c>
    </row>
    <row r="5" spans="1:3" x14ac:dyDescent="0.25">
      <c r="A5" t="str" cm="1">
        <f t="array" ref="A5">"U"&amp;TEXT(ROW()-ROW(UsersTable[#Headers]),"000")</f>
        <v>U004</v>
      </c>
      <c r="B5" t="s">
        <v>9</v>
      </c>
      <c r="C5" s="1" t="s">
        <v>17</v>
      </c>
    </row>
    <row r="6" spans="1:3" x14ac:dyDescent="0.25">
      <c r="A6" t="str" cm="1">
        <f t="array" ref="A6">"U"&amp;TEXT(ROW()-ROW(UsersTable[#Headers]),"000")</f>
        <v>U005</v>
      </c>
      <c r="B6" t="s">
        <v>10</v>
      </c>
      <c r="C6" s="1" t="s">
        <v>18</v>
      </c>
    </row>
    <row r="7" spans="1:3" x14ac:dyDescent="0.25">
      <c r="A7" t="str" cm="1">
        <f t="array" ref="A7">"U"&amp;TEXT(ROW()-ROW(UsersTable[#Headers]),"000")</f>
        <v>U006</v>
      </c>
      <c r="B7" t="s">
        <v>14</v>
      </c>
      <c r="C7" s="1" t="s">
        <v>19</v>
      </c>
    </row>
    <row r="8" spans="1:3" x14ac:dyDescent="0.25">
      <c r="A8" t="str" cm="1">
        <f t="array" ref="A8">"U"&amp;TEXT(ROW()-ROW(UsersTable[#Headers]),"000")</f>
        <v>U007</v>
      </c>
      <c r="B8" t="s">
        <v>15</v>
      </c>
      <c r="C8" s="1" t="s">
        <v>20</v>
      </c>
    </row>
    <row r="9" spans="1:3" x14ac:dyDescent="0.25">
      <c r="A9" t="str" cm="1">
        <f t="array" ref="A9">"U"&amp;TEXT(ROW()-ROW(UsersTable[#Headers]),"000")</f>
        <v>U008</v>
      </c>
      <c r="B9" t="s">
        <v>11</v>
      </c>
      <c r="C9" s="1" t="s">
        <v>16</v>
      </c>
    </row>
    <row r="10" spans="1:3" x14ac:dyDescent="0.25">
      <c r="A10" t="str" cm="1">
        <f t="array" ref="A10">"U"&amp;TEXT(ROW()-ROW(UsersTable[#Headers]),"000")</f>
        <v>U009</v>
      </c>
      <c r="B10" t="s">
        <v>34</v>
      </c>
      <c r="C10" s="1" t="s">
        <v>35</v>
      </c>
    </row>
    <row r="11" spans="1:3" x14ac:dyDescent="0.25">
      <c r="A11" t="str" cm="1">
        <f t="array" ref="A11">"U"&amp;TEXT(ROW()-ROW(UsersTable[#Headers]),"000")</f>
        <v>U010</v>
      </c>
      <c r="B11" t="s">
        <v>13</v>
      </c>
      <c r="C11" s="1"/>
    </row>
    <row r="12" spans="1:3" x14ac:dyDescent="0.25">
      <c r="A12" t="str" cm="1">
        <f t="array" ref="A12">"U"&amp;TEXT(ROW()-ROW(UsersTable[#Headers]),"000")</f>
        <v>U011</v>
      </c>
      <c r="B12" t="s">
        <v>3</v>
      </c>
      <c r="C12" s="1"/>
    </row>
    <row r="13" spans="1:3" x14ac:dyDescent="0.25">
      <c r="A13" t="str" cm="1">
        <f t="array" ref="A13">"U"&amp;TEXT(ROW()-ROW(UsersTable[#Headers]),"000")</f>
        <v>U012</v>
      </c>
      <c r="B13" t="s">
        <v>5</v>
      </c>
      <c r="C13" s="1"/>
    </row>
    <row r="14" spans="1:3" x14ac:dyDescent="0.25">
      <c r="A14" t="str" cm="1">
        <f t="array" ref="A14">"U"&amp;TEXT(ROW()-ROW(UsersTable[#Headers]),"000")</f>
        <v>U013</v>
      </c>
      <c r="B14" t="s">
        <v>7</v>
      </c>
      <c r="C14" s="1"/>
    </row>
    <row r="15" spans="1:3" x14ac:dyDescent="0.25">
      <c r="A15" t="str" cm="1">
        <f t="array" ref="A15">"U"&amp;TEXT(ROW()-ROW(UsersTable[#Headers]),"000")</f>
        <v>U014</v>
      </c>
      <c r="B15" t="s">
        <v>9</v>
      </c>
      <c r="C15" s="1"/>
    </row>
    <row r="16" spans="1:3" x14ac:dyDescent="0.25">
      <c r="A16" t="str" cm="1">
        <f t="array" ref="A16">"U"&amp;TEXT(ROW()-ROW(UsersTable[#Headers]),"000")</f>
        <v>U015</v>
      </c>
      <c r="B16" t="s">
        <v>10</v>
      </c>
      <c r="C16" s="1"/>
    </row>
    <row r="17" spans="1:3" x14ac:dyDescent="0.25">
      <c r="A17" t="str" cm="1">
        <f t="array" ref="A17">"U"&amp;TEXT(ROW()-ROW(UsersTable[#Headers]),"000")</f>
        <v>U016</v>
      </c>
      <c r="B17" t="s">
        <v>14</v>
      </c>
      <c r="C17" s="1"/>
    </row>
    <row r="18" spans="1:3" x14ac:dyDescent="0.25">
      <c r="A18" t="str" cm="1">
        <f t="array" ref="A18">"U"&amp;TEXT(ROW()-ROW(UsersTable[#Headers]),"000")</f>
        <v>U017</v>
      </c>
      <c r="B18" t="s">
        <v>15</v>
      </c>
      <c r="C18" s="1"/>
    </row>
    <row r="19" spans="1:3" x14ac:dyDescent="0.25">
      <c r="A19" t="str" cm="1">
        <f t="array" ref="A19">"U"&amp;TEXT(ROW()-ROW(UsersTable[#Headers]),"000")</f>
        <v>U018</v>
      </c>
      <c r="B19" t="s">
        <v>11</v>
      </c>
      <c r="C19" s="1"/>
    </row>
    <row r="20" spans="1:3" x14ac:dyDescent="0.25">
      <c r="A20" t="str" cm="1">
        <f t="array" ref="A20">"U"&amp;TEXT(ROW()-ROW(UsersTable[#Headers]),"000")</f>
        <v>U019</v>
      </c>
      <c r="B20" t="s">
        <v>12</v>
      </c>
      <c r="C20" s="1"/>
    </row>
    <row r="21" spans="1:3" x14ac:dyDescent="0.25">
      <c r="A21" t="str" cm="1">
        <f t="array" ref="A21">"U"&amp;TEXT(ROW()-ROW(UsersTable[#Headers]),"000")</f>
        <v>U020</v>
      </c>
      <c r="B21" t="s">
        <v>13</v>
      </c>
      <c r="C21" s="1"/>
    </row>
    <row r="22" spans="1:3" x14ac:dyDescent="0.25">
      <c r="A22" t="str" cm="1">
        <f t="array" ref="A22">"U"&amp;TEXT(ROW()-ROW(UsersTable[#Headers]),"000")</f>
        <v>U021</v>
      </c>
      <c r="B22" t="s">
        <v>3</v>
      </c>
      <c r="C22" s="1"/>
    </row>
    <row r="23" spans="1:3" x14ac:dyDescent="0.25">
      <c r="A23" t="str" cm="1">
        <f t="array" ref="A23">"U"&amp;TEXT(ROW()-ROW(UsersTable[#Headers]),"000")</f>
        <v>U022</v>
      </c>
      <c r="B23" t="s">
        <v>5</v>
      </c>
      <c r="C23" s="1"/>
    </row>
    <row r="24" spans="1:3" x14ac:dyDescent="0.25">
      <c r="A24" t="str" cm="1">
        <f t="array" ref="A24">"U"&amp;TEXT(ROW()-ROW(UsersTable[#Headers]),"000")</f>
        <v>U023</v>
      </c>
      <c r="B24" t="s">
        <v>7</v>
      </c>
      <c r="C24" s="1"/>
    </row>
  </sheetData>
  <hyperlinks>
    <hyperlink ref="C2" r:id="rId1" xr:uid="{18D0E18F-B831-439F-A6EC-1D596D495261}"/>
    <hyperlink ref="C3" r:id="rId2" xr:uid="{5C3AD42A-692B-488A-AF9E-541C89B0C227}"/>
    <hyperlink ref="C4" r:id="rId3" xr:uid="{04F4C2A1-BDB5-4148-9ED6-58FC78FC53F0}"/>
    <hyperlink ref="C9" r:id="rId4" xr:uid="{86C75FB0-C630-4632-BCA3-8D0237289E71}"/>
    <hyperlink ref="C8" r:id="rId5" xr:uid="{0F5EB3AA-67A2-4B68-936F-683936A70F0E}"/>
    <hyperlink ref="C7" r:id="rId6" xr:uid="{1D2741D0-AACB-44A2-85B2-38DE99FCA379}"/>
    <hyperlink ref="C6" r:id="rId7" xr:uid="{BB5224BA-C23A-4C62-B074-B8676556EB3E}"/>
    <hyperlink ref="C5" r:id="rId8" xr:uid="{FCDD316B-CFDD-479B-9D0B-C321A5D6C2F6}"/>
    <hyperlink ref="C10" r:id="rId9" xr:uid="{E3057056-9D52-4831-91F4-C8C55A9DD652}"/>
  </hyperlinks>
  <pageMargins left="0.7" right="0.7" top="0.75" bottom="0.75" header="0.3" footer="0.3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7ACDB-E612-44B7-98AB-4FB7686997D4}">
  <sheetPr codeName="Sheet2"/>
  <dimension ref="A1:N39"/>
  <sheetViews>
    <sheetView tabSelected="1" zoomScale="70" zoomScaleNormal="70" workbookViewId="0">
      <selection activeCell="C43" sqref="C43"/>
    </sheetView>
  </sheetViews>
  <sheetFormatPr defaultRowHeight="15" x14ac:dyDescent="0.25"/>
  <cols>
    <col min="1" max="1" width="14.7109375" style="2" customWidth="1"/>
    <col min="2" max="2" width="33" customWidth="1"/>
    <col min="3" max="3" width="89.7109375" customWidth="1"/>
    <col min="4" max="4" width="22.5703125" customWidth="1"/>
    <col min="5" max="5" width="32.5703125" customWidth="1"/>
    <col min="6" max="6" width="16" customWidth="1"/>
    <col min="7" max="7" width="15.7109375" customWidth="1"/>
    <col min="8" max="8" width="19.85546875" customWidth="1"/>
    <col min="9" max="9" width="22.7109375" style="3" customWidth="1"/>
    <col min="10" max="10" width="14.7109375" style="2" customWidth="1"/>
    <col min="11" max="11" width="19.28515625" hidden="1" customWidth="1"/>
    <col min="12" max="12" width="33.28515625" hidden="1" customWidth="1"/>
    <col min="13" max="13" width="34.28515625" customWidth="1"/>
    <col min="14" max="14" width="17.28515625" customWidth="1"/>
  </cols>
  <sheetData>
    <row r="1" spans="1:14" x14ac:dyDescent="0.25">
      <c r="A1" s="2" t="s">
        <v>21</v>
      </c>
      <c r="B1" t="s">
        <v>22</v>
      </c>
      <c r="C1" t="s">
        <v>24</v>
      </c>
      <c r="D1" t="s">
        <v>23</v>
      </c>
      <c r="E1" t="s">
        <v>25</v>
      </c>
      <c r="F1" t="s">
        <v>26</v>
      </c>
      <c r="G1" t="s">
        <v>33</v>
      </c>
      <c r="H1" t="s">
        <v>37</v>
      </c>
      <c r="I1" s="3" t="s">
        <v>38</v>
      </c>
      <c r="J1" s="2" t="s">
        <v>39</v>
      </c>
      <c r="K1" t="s">
        <v>40</v>
      </c>
      <c r="L1" t="s">
        <v>41</v>
      </c>
      <c r="M1" t="s">
        <v>44</v>
      </c>
      <c r="N1" t="s">
        <v>45</v>
      </c>
    </row>
    <row r="2" spans="1:14" x14ac:dyDescent="0.25">
      <c r="A2" s="2" t="str" cm="1">
        <f t="array" ref="A2">"T"&amp;TEXT(ROW()-ROW(UsersTable[#Headers]),"000")</f>
        <v>T001</v>
      </c>
      <c r="G2" t="s">
        <v>36</v>
      </c>
      <c r="H2" s="4">
        <v>46037</v>
      </c>
      <c r="I2" s="3">
        <v>46044</v>
      </c>
      <c r="J2" s="2" t="s">
        <v>43</v>
      </c>
      <c r="K2" t="s">
        <v>42</v>
      </c>
    </row>
    <row r="3" spans="1:14" x14ac:dyDescent="0.25">
      <c r="A3" s="2" t="str" cm="1">
        <f t="array" ref="A3">"T"&amp;TEXT(ROW()-ROW(UsersTable[#Headers]),"000")</f>
        <v>T002</v>
      </c>
      <c r="E3" t="str">
        <f>_xlfn.XLOOKUP(TasksTable[[#This Row],[Assignee]],UsersTable[Name],UsersTable[Email],"")</f>
        <v/>
      </c>
      <c r="G3" t="s">
        <v>36</v>
      </c>
    </row>
    <row r="4" spans="1:14" x14ac:dyDescent="0.25">
      <c r="A4" s="2" t="str" cm="1">
        <f t="array" ref="A4">"T"&amp;TEXT(ROW()-ROW(UsersTable[#Headers]),"000")</f>
        <v>T003</v>
      </c>
      <c r="E4" t="str">
        <f>_xlfn.XLOOKUP(TasksTable[[#This Row],[Assignee]],UsersTable[Name],UsersTable[Email],"")</f>
        <v/>
      </c>
      <c r="G4" t="s">
        <v>36</v>
      </c>
    </row>
    <row r="5" spans="1:14" x14ac:dyDescent="0.25">
      <c r="A5" s="2" t="str" cm="1">
        <f t="array" ref="A5">"T"&amp;TEXT(ROW()-ROW(UsersTable[#Headers]),"000")</f>
        <v>T004</v>
      </c>
      <c r="E5" t="str">
        <f>_xlfn.XLOOKUP(TasksTable[[#This Row],[Assignee]],UsersTable[Name],UsersTable[Email],"")</f>
        <v/>
      </c>
      <c r="G5" t="s">
        <v>36</v>
      </c>
    </row>
    <row r="6" spans="1:14" x14ac:dyDescent="0.25">
      <c r="A6" s="2" t="str" cm="1">
        <f t="array" ref="A6">"T"&amp;TEXT(ROW()-ROW(UsersTable[#Headers]),"000")</f>
        <v>T005</v>
      </c>
      <c r="E6" t="str">
        <f>_xlfn.XLOOKUP(TasksTable[[#This Row],[Assignee]],UsersTable[Name],UsersTable[Email],"")</f>
        <v/>
      </c>
      <c r="G6" t="s">
        <v>36</v>
      </c>
    </row>
    <row r="7" spans="1:14" x14ac:dyDescent="0.25">
      <c r="A7" s="2" t="str" cm="1">
        <f t="array" ref="A7">"T"&amp;TEXT(ROW()-ROW(UsersTable[#Headers]),"000")</f>
        <v>T006</v>
      </c>
      <c r="G7" t="s">
        <v>36</v>
      </c>
    </row>
    <row r="8" spans="1:14" x14ac:dyDescent="0.25">
      <c r="A8" s="2" t="str" cm="1">
        <f t="array" ref="A8">"T"&amp;TEXT(ROW()-ROW(UsersTable[#Headers]),"000")</f>
        <v>T007</v>
      </c>
      <c r="E8" t="str">
        <f>_xlfn.XLOOKUP(TasksTable[[#This Row],[Assignee]],UsersTable[Name],UsersTable[Email],"")</f>
        <v/>
      </c>
      <c r="G8" t="s">
        <v>36</v>
      </c>
    </row>
    <row r="9" spans="1:14" x14ac:dyDescent="0.25">
      <c r="A9" s="2" t="str" cm="1">
        <f t="array" ref="A9">"T"&amp;TEXT(ROW()-ROW(UsersTable[#Headers]),"000")</f>
        <v>T008</v>
      </c>
      <c r="E9" t="str">
        <f>_xlfn.XLOOKUP(TasksTable[[#This Row],[Assignee]],UsersTable[Name],UsersTable[Email],"")</f>
        <v/>
      </c>
      <c r="G9" t="s">
        <v>36</v>
      </c>
    </row>
    <row r="10" spans="1:14" x14ac:dyDescent="0.25">
      <c r="A10" s="2" t="str" cm="1">
        <f t="array" ref="A10">"T"&amp;TEXT(ROW()-ROW(UsersTable[#Headers]),"000")</f>
        <v>T009</v>
      </c>
      <c r="E10" t="str">
        <f>_xlfn.XLOOKUP(TasksTable[[#This Row],[Assignee]],UsersTable[Name],UsersTable[Email],"")</f>
        <v/>
      </c>
      <c r="G10" t="s">
        <v>36</v>
      </c>
    </row>
    <row r="11" spans="1:14" x14ac:dyDescent="0.25">
      <c r="A11" s="2" t="str" cm="1">
        <f t="array" ref="A11">"T"&amp;TEXT(ROW()-ROW(UsersTable[#Headers]),"000")</f>
        <v>T010</v>
      </c>
      <c r="E11" t="str">
        <f>_xlfn.XLOOKUP(TasksTable[[#This Row],[Assignee]],UsersTable[Name],UsersTable[Email],"")</f>
        <v/>
      </c>
      <c r="G11" t="s">
        <v>36</v>
      </c>
    </row>
    <row r="12" spans="1:14" x14ac:dyDescent="0.25">
      <c r="A12" s="2" t="str" cm="1">
        <f t="array" ref="A12">"T"&amp;TEXT(ROW()-ROW(UsersTable[#Headers]),"000")</f>
        <v>T011</v>
      </c>
      <c r="E12" t="str">
        <f>_xlfn.XLOOKUP(TasksTable[[#This Row],[Assignee]],UsersTable[Name],UsersTable[Email],"")</f>
        <v/>
      </c>
      <c r="G12" t="s">
        <v>36</v>
      </c>
    </row>
    <row r="13" spans="1:14" x14ac:dyDescent="0.25">
      <c r="A13" s="2" t="str" cm="1">
        <f t="array" ref="A13">"T"&amp;TEXT(ROW()-ROW(UsersTable[#Headers]),"000")</f>
        <v>T012</v>
      </c>
      <c r="E13" t="str">
        <f>_xlfn.XLOOKUP(TasksTable[[#This Row],[Assignee]],UsersTable[Name],UsersTable[Email],"")</f>
        <v/>
      </c>
      <c r="G13" t="s">
        <v>36</v>
      </c>
    </row>
    <row r="14" spans="1:14" x14ac:dyDescent="0.25">
      <c r="A14" s="2" t="str" cm="1">
        <f t="array" ref="A14">"T"&amp;TEXT(ROW()-ROW(UsersTable[#Headers]),"000")</f>
        <v>T013</v>
      </c>
      <c r="E14" t="str">
        <f>_xlfn.XLOOKUP(TasksTable[[#This Row],[Assignee]],UsersTable[Name],UsersTable[Email],"")</f>
        <v/>
      </c>
      <c r="G14" t="s">
        <v>36</v>
      </c>
    </row>
    <row r="15" spans="1:14" x14ac:dyDescent="0.25">
      <c r="A15" s="2" t="str" cm="1">
        <f t="array" ref="A15">"T"&amp;TEXT(ROW()-ROW(UsersTable[#Headers]),"000")</f>
        <v>T014</v>
      </c>
      <c r="E15" t="str">
        <f>_xlfn.XLOOKUP(TasksTable[[#This Row],[Assignee]],UsersTable[Name],UsersTable[Email],"")</f>
        <v/>
      </c>
      <c r="G15" t="s">
        <v>36</v>
      </c>
    </row>
    <row r="16" spans="1:14" x14ac:dyDescent="0.25">
      <c r="A16" s="2" t="str" cm="1">
        <f t="array" ref="A16">"T"&amp;TEXT(ROW()-ROW(UsersTable[#Headers]),"000")</f>
        <v>T015</v>
      </c>
      <c r="E16" t="str">
        <f>_xlfn.XLOOKUP(TasksTable[[#This Row],[Assignee]],UsersTable[Name],UsersTable[Email],"")</f>
        <v/>
      </c>
      <c r="G16" t="s">
        <v>36</v>
      </c>
    </row>
    <row r="17" spans="1:7" x14ac:dyDescent="0.25">
      <c r="A17" s="2" t="str" cm="1">
        <f t="array" ref="A17">"T"&amp;TEXT(ROW()-ROW(UsersTable[#Headers]),"000")</f>
        <v>T016</v>
      </c>
      <c r="G17" t="s">
        <v>36</v>
      </c>
    </row>
    <row r="18" spans="1:7" x14ac:dyDescent="0.25">
      <c r="A18" s="2" t="str" cm="1">
        <f t="array" ref="A18">"T"&amp;TEXT(ROW()-ROW(UsersTable[#Headers]),"000")</f>
        <v>T017</v>
      </c>
      <c r="E18" t="str">
        <f>_xlfn.XLOOKUP(TasksTable[[#This Row],[Assignee]],UsersTable[Name],UsersTable[Email],"")</f>
        <v/>
      </c>
      <c r="G18" t="s">
        <v>36</v>
      </c>
    </row>
    <row r="19" spans="1:7" x14ac:dyDescent="0.25">
      <c r="A19" s="2" t="str" cm="1">
        <f t="array" ref="A19">"T"&amp;TEXT(ROW()-ROW(UsersTable[#Headers]),"000")</f>
        <v>T018</v>
      </c>
      <c r="E19" t="str">
        <f>_xlfn.XLOOKUP(TasksTable[[#This Row],[Assignee]],UsersTable[Name],UsersTable[Email],"")</f>
        <v/>
      </c>
      <c r="G19" t="s">
        <v>36</v>
      </c>
    </row>
    <row r="20" spans="1:7" x14ac:dyDescent="0.25">
      <c r="A20" s="2" t="str" cm="1">
        <f t="array" ref="A20">"T"&amp;TEXT(ROW()-ROW(UsersTable[#Headers]),"000")</f>
        <v>T019</v>
      </c>
      <c r="E20" t="str">
        <f>_xlfn.XLOOKUP(TasksTable[[#This Row],[Assignee]],UsersTable[Name],UsersTable[Email],"")</f>
        <v/>
      </c>
      <c r="G20" t="s">
        <v>36</v>
      </c>
    </row>
    <row r="21" spans="1:7" x14ac:dyDescent="0.25">
      <c r="A21" s="2" t="str" cm="1">
        <f t="array" ref="A21">"T"&amp;TEXT(ROW()-ROW(UsersTable[#Headers]),"000")</f>
        <v>T020</v>
      </c>
      <c r="E21" t="str">
        <f>_xlfn.XLOOKUP(TasksTable[[#This Row],[Assignee]],UsersTable[Name],UsersTable[Email],"")</f>
        <v/>
      </c>
      <c r="G21" t="s">
        <v>36</v>
      </c>
    </row>
    <row r="22" spans="1:7" x14ac:dyDescent="0.25">
      <c r="A22" s="2" t="str" cm="1">
        <f t="array" ref="A22">"T"&amp;TEXT(ROW()-ROW(UsersTable[#Headers]),"000")</f>
        <v>T021</v>
      </c>
      <c r="E22" t="str">
        <f>_xlfn.XLOOKUP(TasksTable[[#This Row],[Assignee]],UsersTable[Name],UsersTable[Email],"")</f>
        <v/>
      </c>
      <c r="G22" t="s">
        <v>36</v>
      </c>
    </row>
    <row r="23" spans="1:7" x14ac:dyDescent="0.25">
      <c r="A23" s="2" t="str" cm="1">
        <f t="array" ref="A23">"T"&amp;TEXT(ROW()-ROW(UsersTable[#Headers]),"000")</f>
        <v>T022</v>
      </c>
      <c r="E23" t="str">
        <f>_xlfn.XLOOKUP(TasksTable[[#This Row],[Assignee]],UsersTable[Name],UsersTable[Email],"")</f>
        <v/>
      </c>
      <c r="G23" t="s">
        <v>36</v>
      </c>
    </row>
    <row r="24" spans="1:7" x14ac:dyDescent="0.25">
      <c r="A24" s="2" t="str" cm="1">
        <f t="array" ref="A24">"T"&amp;TEXT(ROW()-ROW(UsersTable[#Headers]),"000")</f>
        <v>T023</v>
      </c>
      <c r="E24" t="str">
        <f>_xlfn.XLOOKUP(TasksTable[[#This Row],[Assignee]],UsersTable[Name],UsersTable[Email],"")</f>
        <v/>
      </c>
      <c r="G24" t="s">
        <v>36</v>
      </c>
    </row>
    <row r="25" spans="1:7" x14ac:dyDescent="0.25">
      <c r="A25" s="2" t="str" cm="1">
        <f t="array" ref="A25">"T"&amp;TEXT(ROW()-ROW(UsersTable[#Headers]),"000")</f>
        <v>T024</v>
      </c>
      <c r="E25" t="str">
        <f>_xlfn.XLOOKUP(TasksTable[[#This Row],[Assignee]],UsersTable[Name],UsersTable[Email],"")</f>
        <v/>
      </c>
      <c r="G25" t="s">
        <v>36</v>
      </c>
    </row>
    <row r="26" spans="1:7" x14ac:dyDescent="0.25">
      <c r="A26" s="2" t="str" cm="1">
        <f t="array" ref="A26">"T"&amp;TEXT(ROW()-ROW(UsersTable[#Headers]),"000")</f>
        <v>T025</v>
      </c>
      <c r="E26" t="str">
        <f>_xlfn.XLOOKUP(TasksTable[[#This Row],[Assignee]],UsersTable[Name],UsersTable[Email],"")</f>
        <v/>
      </c>
      <c r="G26" t="s">
        <v>36</v>
      </c>
    </row>
    <row r="27" spans="1:7" x14ac:dyDescent="0.25">
      <c r="A27" s="2" t="str" cm="1">
        <f t="array" ref="A27">"T"&amp;TEXT(ROW()-ROW(UsersTable[#Headers]),"000")</f>
        <v>T026</v>
      </c>
      <c r="E27" t="str">
        <f>_xlfn.XLOOKUP(TasksTable[[#This Row],[Assignee]],UsersTable[Name],UsersTable[Email],"")</f>
        <v/>
      </c>
      <c r="G27" t="s">
        <v>36</v>
      </c>
    </row>
    <row r="28" spans="1:7" x14ac:dyDescent="0.25">
      <c r="A28" s="2" t="str" cm="1">
        <f t="array" ref="A28">"T"&amp;TEXT(ROW()-ROW(UsersTable[#Headers]),"000")</f>
        <v>T027</v>
      </c>
      <c r="E28" t="str">
        <f>_xlfn.XLOOKUP(TasksTable[[#This Row],[Assignee]],UsersTable[Name],UsersTable[Email],"")</f>
        <v/>
      </c>
      <c r="G28" t="s">
        <v>36</v>
      </c>
    </row>
    <row r="29" spans="1:7" x14ac:dyDescent="0.25">
      <c r="A29" s="2" t="str" cm="1">
        <f t="array" ref="A29">"T"&amp;TEXT(ROW()-ROW(UsersTable[#Headers]),"000")</f>
        <v>T028</v>
      </c>
      <c r="E29" t="str">
        <f>_xlfn.XLOOKUP(TasksTable[[#This Row],[Assignee]],UsersTable[Name],UsersTable[Email],"")</f>
        <v/>
      </c>
      <c r="G29" t="s">
        <v>36</v>
      </c>
    </row>
    <row r="30" spans="1:7" x14ac:dyDescent="0.25">
      <c r="A30" s="2" t="str" cm="1">
        <f t="array" ref="A30">"T"&amp;TEXT(ROW()-ROW(UsersTable[#Headers]),"000")</f>
        <v>T029</v>
      </c>
      <c r="E30" t="str">
        <f>_xlfn.XLOOKUP(TasksTable[[#This Row],[Assignee]],UsersTable[Name],UsersTable[Email],"")</f>
        <v/>
      </c>
      <c r="G30" t="s">
        <v>36</v>
      </c>
    </row>
    <row r="31" spans="1:7" x14ac:dyDescent="0.25">
      <c r="A31" s="2" t="str" cm="1">
        <f t="array" ref="A31">"T"&amp;TEXT(ROW()-ROW(UsersTable[#Headers]),"000")</f>
        <v>T030</v>
      </c>
      <c r="E31" t="str">
        <f>_xlfn.XLOOKUP(TasksTable[[#This Row],[Assignee]],UsersTable[Name],UsersTable[Email],"")</f>
        <v/>
      </c>
      <c r="G31" t="s">
        <v>36</v>
      </c>
    </row>
    <row r="32" spans="1:7" x14ac:dyDescent="0.25">
      <c r="A32" s="2" t="str" cm="1">
        <f t="array" ref="A32">"T"&amp;TEXT(ROW()-ROW(UsersTable[#Headers]),"000")</f>
        <v>T031</v>
      </c>
      <c r="E32" t="str">
        <f>_xlfn.XLOOKUP(TasksTable[[#This Row],[Assignee]],UsersTable[Name],UsersTable[Email],"")</f>
        <v/>
      </c>
      <c r="G32" t="s">
        <v>36</v>
      </c>
    </row>
    <row r="33" spans="1:7" x14ac:dyDescent="0.25">
      <c r="A33" s="2" t="str" cm="1">
        <f t="array" ref="A33">"T"&amp;TEXT(ROW()-ROW(UsersTable[#Headers]),"000")</f>
        <v>T032</v>
      </c>
      <c r="E33" t="str">
        <f>_xlfn.XLOOKUP(TasksTable[[#This Row],[Assignee]],UsersTable[Name],UsersTable[Email],"")</f>
        <v/>
      </c>
      <c r="G33" t="s">
        <v>36</v>
      </c>
    </row>
    <row r="34" spans="1:7" x14ac:dyDescent="0.25">
      <c r="A34" s="2" t="str" cm="1">
        <f t="array" ref="A34">"T"&amp;TEXT(ROW()-ROW(UsersTable[#Headers]),"000")</f>
        <v>T033</v>
      </c>
      <c r="E34" t="str">
        <f>_xlfn.XLOOKUP(TasksTable[[#This Row],[Assignee]],UsersTable[Name],UsersTable[Email],"")</f>
        <v/>
      </c>
      <c r="G34" t="s">
        <v>36</v>
      </c>
    </row>
    <row r="35" spans="1:7" x14ac:dyDescent="0.25">
      <c r="A35" s="2" t="str" cm="1">
        <f t="array" ref="A35">"T"&amp;TEXT(ROW()-ROW(UsersTable[#Headers]),"000")</f>
        <v>T034</v>
      </c>
      <c r="E35" t="str">
        <f>_xlfn.XLOOKUP(TasksTable[[#This Row],[Assignee]],UsersTable[Name],UsersTable[Email],"")</f>
        <v/>
      </c>
      <c r="G35" t="s">
        <v>36</v>
      </c>
    </row>
    <row r="36" spans="1:7" x14ac:dyDescent="0.25">
      <c r="A36" s="2" t="str" cm="1">
        <f t="array" ref="A36">"T"&amp;TEXT(ROW()-ROW(UsersTable[#Headers]),"000")</f>
        <v>T035</v>
      </c>
      <c r="E36" t="str">
        <f>_xlfn.XLOOKUP(TasksTable[[#This Row],[Assignee]],UsersTable[Name],UsersTable[Email],"")</f>
        <v/>
      </c>
      <c r="G36" t="s">
        <v>36</v>
      </c>
    </row>
    <row r="37" spans="1:7" x14ac:dyDescent="0.25">
      <c r="A37" s="2" t="str" cm="1">
        <f t="array" ref="A37">"T"&amp;TEXT(ROW()-ROW(UsersTable[#Headers]),"000")</f>
        <v>T036</v>
      </c>
      <c r="E37" t="str">
        <f>_xlfn.XLOOKUP(TasksTable[[#This Row],[Assignee]],UsersTable[Name],UsersTable[Email],"")</f>
        <v/>
      </c>
      <c r="G37" t="s">
        <v>36</v>
      </c>
    </row>
    <row r="38" spans="1:7" x14ac:dyDescent="0.25">
      <c r="A38" s="2" t="str" cm="1">
        <f t="array" ref="A38">"T"&amp;TEXT(ROW()-ROW(UsersTable[#Headers]),"000")</f>
        <v>T037</v>
      </c>
      <c r="E38" t="str">
        <f>_xlfn.XLOOKUP(TasksTable[[#This Row],[Assignee]],UsersTable[Name],UsersTable[Email],"")</f>
        <v/>
      </c>
      <c r="G38" t="s">
        <v>36</v>
      </c>
    </row>
    <row r="39" spans="1:7" x14ac:dyDescent="0.25">
      <c r="A39" s="2" t="str" cm="1">
        <f t="array" ref="A39">"T"&amp;TEXT(ROW()-ROW(UsersTable[#Headers]),"000")</f>
        <v>T038</v>
      </c>
      <c r="E39" t="str">
        <f>_xlfn.XLOOKUP(TasksTable[[#This Row],[Assignee]],UsersTable[Name],UsersTable[Email],"")</f>
        <v/>
      </c>
    </row>
  </sheetData>
  <phoneticPr fontId="2" type="noConversion"/>
  <dataValidations count="1">
    <dataValidation type="list" allowBlank="1" showInputMessage="1" showErrorMessage="1" sqref="J1:J1048576" xr:uid="{F4BD4C82-C8D3-4265-8B0B-E1651CB8F2DC}">
      <formula1>"Low,Medium,High"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943C521-7099-4E7A-8639-5AEBB126FA1E}">
          <x14:formula1>
            <xm:f>Users!$B$2:$B$24</xm:f>
          </x14:formula1>
          <xm:sqref>D1:D1048576</xm:sqref>
        </x14:dataValidation>
        <x14:dataValidation type="list" allowBlank="1" showInputMessage="1" showErrorMessage="1" xr:uid="{E24DC11F-7652-41BE-B027-0F653B2EB8A0}">
          <x14:formula1>
            <xm:f>Lists!$A$2:$A$6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D6F07-5139-4F65-8010-3DB3F7FF7CB0}">
  <sheetPr codeName="Sheet3"/>
  <dimension ref="A1:A6"/>
  <sheetViews>
    <sheetView workbookViewId="0">
      <selection activeCell="G9" sqref="G9"/>
    </sheetView>
  </sheetViews>
  <sheetFormatPr defaultRowHeight="15" x14ac:dyDescent="0.25"/>
  <cols>
    <col min="1" max="1" width="18.28515625" customWidth="1"/>
  </cols>
  <sheetData>
    <row r="1" spans="1:1" x14ac:dyDescent="0.25">
      <c r="A1" t="s">
        <v>32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Users</vt:lpstr>
      <vt:lpstr>Tasks</vt:lpstr>
      <vt:lpstr>Lists</vt:lpstr>
      <vt:lpstr>Assignee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Rostyslav Onyshchenko</dc:creator>
  <cp:lastModifiedBy>Rostyslav Onyshchenko</cp:lastModifiedBy>
  <dcterms:created xsi:type="dcterms:W3CDTF">2015-06-05T18:17:20Z</dcterms:created>
  <dcterms:modified xsi:type="dcterms:W3CDTF">2026-01-16T12:19:58Z</dcterms:modified>
</cp:coreProperties>
</file>